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k\Documents\TxCDC\Excel Projects\"/>
    </mc:Choice>
  </mc:AlternateContent>
  <bookViews>
    <workbookView xWindow="1065" yWindow="60" windowWidth="12120" windowHeight="9060"/>
  </bookViews>
  <sheets>
    <sheet name="Sheet1" sheetId="1" r:id="rId1"/>
  </sheets>
  <definedNames>
    <definedName name="_xlnm.Print_Titles" localSheetId="0">Sheet1!$1:$6</definedName>
  </definedNames>
  <calcPr calcId="152511"/>
</workbook>
</file>

<file path=xl/calcChain.xml><?xml version="1.0" encoding="utf-8"?>
<calcChain xmlns="http://schemas.openxmlformats.org/spreadsheetml/2006/main">
  <c r="K63" i="1" l="1"/>
  <c r="J63" i="1"/>
  <c r="I63" i="1"/>
  <c r="H63" i="1"/>
  <c r="K36" i="1"/>
  <c r="G41" i="1"/>
  <c r="K44" i="1"/>
  <c r="G49" i="1"/>
  <c r="K54" i="1"/>
  <c r="G59" i="1"/>
  <c r="K10" i="1"/>
  <c r="G15" i="1"/>
  <c r="K18" i="1"/>
  <c r="G23" i="1"/>
  <c r="K26" i="1"/>
  <c r="G31" i="1"/>
  <c r="C1" i="1" l="1"/>
</calcChain>
</file>

<file path=xl/sharedStrings.xml><?xml version="1.0" encoding="utf-8"?>
<sst xmlns="http://schemas.openxmlformats.org/spreadsheetml/2006/main" count="88" uniqueCount="34">
  <si>
    <t>Title</t>
  </si>
  <si>
    <t>EIN No.</t>
  </si>
  <si>
    <t>% Ownership</t>
  </si>
  <si>
    <t>Average Net Profit</t>
  </si>
  <si>
    <t>EXHIBIT 12 - AFFILIATES - SIZE ELIGIBILTY</t>
  </si>
  <si>
    <t>Name of Project:</t>
  </si>
  <si>
    <t>All Figures Should be entered in (000's)</t>
  </si>
  <si>
    <t>NAME OF GUARANTOR AFFILIATES</t>
  </si>
  <si>
    <t>Name of Entity/Owner</t>
  </si>
  <si>
    <t>NAME OF NON-GUARANTOR AFFILIATES</t>
  </si>
  <si>
    <t>NAME OF OC and/or EPC ENTITIES</t>
  </si>
  <si>
    <t>GRAND TOTAL</t>
  </si>
  <si>
    <t>Comments:</t>
  </si>
  <si>
    <t>The Applicant's, including its affiliates, Net Worth does not exceed SBA's size requirement of $15MM.</t>
  </si>
  <si>
    <t>The Applicant's, including its affiliates, Average Net Profit does not exceed SBA's size requirement of $5.0MM.</t>
  </si>
  <si>
    <t>THEREFORE, THIS PROJECT MEETS SBA'S SIZE REQUIREMENT AND THEREFORE ELIGIBLE.</t>
  </si>
  <si>
    <t>* New Entity</t>
  </si>
  <si>
    <t>Footnotes:</t>
  </si>
  <si>
    <t>TOTAL EPC AND OC</t>
  </si>
  <si>
    <t>TOTAL AFFILIATES</t>
  </si>
  <si>
    <t>Ex. Disclose why other companies are not affiliates.</t>
  </si>
  <si>
    <t>(To skip a line within the comment box, hit "ALT + ENTER")</t>
  </si>
  <si>
    <t>#</t>
  </si>
  <si>
    <t>Guarantor
Yes / No</t>
  </si>
  <si>
    <t>?? Net Profit</t>
  </si>
  <si>
    <t>?? Net Worth</t>
  </si>
  <si>
    <t>??? ENTER NAME OF OC HERE ???</t>
  </si>
  <si>
    <t>Financial</t>
  </si>
  <si>
    <t>20??</t>
  </si>
  <si>
    <t>(EPC NAME or OC if applicable)</t>
  </si>
  <si>
    <t>Owner #1</t>
  </si>
  <si>
    <t>Owner #2</t>
  </si>
  <si>
    <t>Owner #3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</si>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</sst>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"/>
    <numFmt numFmtId="165" formatCode="[$-F800]dddd\,\ mmmm\ dd\,\ yyyy"/>
  </numFmts>
  <fonts count="19" x14ac:knownFonts="1">
    <font>
      <sz val="10"/>
      <name val="Arial"/>
    </font>
    <font>
      <sz val="1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6"/>
      <name val="Tahoma"/>
      <family val="2"/>
    </font>
    <font>
      <sz val="10"/>
      <name val="Arial"/>
      <family val="2"/>
    </font>
    <font>
      <sz val="14"/>
      <name val="Tahoma"/>
      <family val="2"/>
    </font>
    <font>
      <b/>
      <sz val="20"/>
      <name val="Tahoma"/>
      <family val="2"/>
    </font>
    <font>
      <b/>
      <sz val="12"/>
      <name val="Tahoma"/>
      <family val="2"/>
    </font>
    <font>
      <sz val="18"/>
      <name val="Tahoma"/>
      <family val="2"/>
    </font>
    <font>
      <b/>
      <sz val="18"/>
      <name val="Tahoma"/>
      <family val="2"/>
    </font>
    <font>
      <b/>
      <sz val="14"/>
      <color indexed="8"/>
      <name val="Bookman Old Style"/>
      <family val="1"/>
    </font>
    <font>
      <sz val="12"/>
      <name val="Arial"/>
      <family val="2"/>
    </font>
    <font>
      <sz val="14"/>
      <name val="Arial"/>
      <family val="2"/>
    </font>
    <font>
      <b/>
      <sz val="14"/>
      <color theme="0"/>
      <name val="Tahoma"/>
      <family val="2"/>
    </font>
    <font>
      <sz val="14"/>
      <color rgb="FF000000"/>
      <name val="Tahoma"/>
      <family val="2"/>
    </font>
    <font>
      <i/>
      <sz val="14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8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Continuous"/>
    </xf>
    <xf numFmtId="0" fontId="4" fillId="0" borderId="4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/>
    <xf numFmtId="0" fontId="4" fillId="0" borderId="0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/>
    <xf numFmtId="0" fontId="0" fillId="0" borderId="0" xfId="0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1" xfId="0" applyFont="1" applyFill="1" applyBorder="1" applyAlignment="1" applyProtection="1">
      <alignment vertical="center"/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</xf>
    <xf numFmtId="0" fontId="3" fillId="4" borderId="1" xfId="0" applyFont="1" applyFill="1" applyBorder="1" applyAlignment="1" applyProtection="1">
      <alignment vertical="center"/>
    </xf>
    <xf numFmtId="0" fontId="11" fillId="0" borderId="1" xfId="0" applyFont="1" applyFill="1" applyBorder="1" applyAlignment="1" applyProtection="1">
      <protection locked="0"/>
    </xf>
    <xf numFmtId="0" fontId="3" fillId="0" borderId="2" xfId="0" applyFont="1" applyBorder="1" applyAlignment="1" applyProtection="1">
      <alignment horizontal="centerContinuous"/>
    </xf>
    <xf numFmtId="0" fontId="12" fillId="4" borderId="3" xfId="0" applyFont="1" applyFill="1" applyBorder="1" applyAlignment="1" applyProtection="1">
      <alignment vertical="center"/>
    </xf>
    <xf numFmtId="0" fontId="3" fillId="0" borderId="3" xfId="0" applyFont="1" applyFill="1" applyBorder="1" applyAlignment="1" applyProtection="1"/>
    <xf numFmtId="0" fontId="8" fillId="0" borderId="0" xfId="0" applyFont="1" applyAlignment="1" applyProtection="1">
      <protection locked="0"/>
    </xf>
    <xf numFmtId="0" fontId="8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0" fillId="0" borderId="0" xfId="0" applyFont="1" applyAlignment="1" applyProtection="1">
      <alignment horizontal="left" vertical="top"/>
    </xf>
    <xf numFmtId="0" fontId="3" fillId="4" borderId="1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/>
    <xf numFmtId="0" fontId="10" fillId="0" borderId="0" xfId="0" applyFont="1" applyProtection="1"/>
    <xf numFmtId="165" fontId="2" fillId="0" borderId="0" xfId="0" applyNumberFormat="1" applyFont="1" applyAlignment="1" applyProtection="1">
      <alignment horizontal="centerContinuous"/>
    </xf>
    <xf numFmtId="0" fontId="3" fillId="0" borderId="3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vertical="center"/>
    </xf>
    <xf numFmtId="0" fontId="8" fillId="0" borderId="2" xfId="0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0" fontId="13" fillId="0" borderId="2" xfId="0" applyFont="1" applyFill="1" applyBorder="1" applyAlignment="1" applyProtection="1"/>
    <xf numFmtId="40" fontId="8" fillId="2" borderId="2" xfId="0" applyNumberFormat="1" applyFont="1" applyFill="1" applyBorder="1" applyAlignment="1" applyProtection="1">
      <alignment horizontal="center"/>
    </xf>
    <xf numFmtId="40" fontId="8" fillId="2" borderId="3" xfId="0" applyNumberFormat="1" applyFont="1" applyFill="1" applyBorder="1" applyAlignment="1" applyProtection="1">
      <alignment horizontal="center"/>
    </xf>
    <xf numFmtId="164" fontId="3" fillId="0" borderId="5" xfId="0" applyNumberFormat="1" applyFont="1" applyFill="1" applyBorder="1" applyAlignment="1" applyProtection="1">
      <alignment horizontal="center" vertical="center"/>
    </xf>
    <xf numFmtId="164" fontId="3" fillId="2" borderId="9" xfId="0" applyNumberFormat="1" applyFont="1" applyFill="1" applyBorder="1" applyAlignment="1" applyProtection="1">
      <alignment horizontal="center"/>
    </xf>
    <xf numFmtId="164" fontId="3" fillId="2" borderId="10" xfId="0" applyNumberFormat="1" applyFont="1" applyFill="1" applyBorder="1" applyAlignment="1" applyProtection="1">
      <alignment horizontal="center"/>
    </xf>
    <xf numFmtId="164" fontId="3" fillId="2" borderId="11" xfId="0" applyNumberFormat="1" applyFont="1" applyFill="1" applyBorder="1" applyAlignment="1" applyProtection="1">
      <alignment horizontal="center"/>
    </xf>
    <xf numFmtId="0" fontId="3" fillId="4" borderId="12" xfId="0" applyFont="1" applyFill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top" wrapText="1"/>
      <protection locked="0"/>
    </xf>
    <xf numFmtId="0" fontId="1" fillId="0" borderId="0" xfId="0" applyFont="1" applyBorder="1" applyAlignment="1" applyProtection="1">
      <alignment vertical="top" wrapText="1"/>
      <protection locked="0"/>
    </xf>
    <xf numFmtId="40" fontId="3" fillId="4" borderId="2" xfId="0" applyNumberFormat="1" applyFont="1" applyFill="1" applyBorder="1" applyAlignment="1" applyProtection="1">
      <alignment horizontal="centerContinuous"/>
    </xf>
    <xf numFmtId="40" fontId="3" fillId="4" borderId="2" xfId="0" applyNumberFormat="1" applyFont="1" applyFill="1" applyBorder="1" applyAlignment="1" applyProtection="1">
      <alignment horizontal="centerContinuous" wrapText="1"/>
    </xf>
    <xf numFmtId="40" fontId="3" fillId="0" borderId="2" xfId="0" applyNumberFormat="1" applyFont="1" applyFill="1" applyBorder="1" applyAlignment="1" applyProtection="1">
      <alignment horizontal="center"/>
    </xf>
    <xf numFmtId="40" fontId="10" fillId="0" borderId="2" xfId="0" applyNumberFormat="1" applyFont="1" applyFill="1" applyBorder="1" applyAlignment="1" applyProtection="1">
      <alignment horizontal="center" wrapText="1"/>
    </xf>
    <xf numFmtId="0" fontId="8" fillId="0" borderId="4" xfId="0" applyNumberFormat="1" applyFont="1" applyFill="1" applyBorder="1" applyAlignment="1" applyProtection="1">
      <alignment horizontal="center"/>
    </xf>
    <xf numFmtId="0" fontId="15" fillId="0" borderId="0" xfId="0" applyFont="1" applyProtection="1"/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</xf>
    <xf numFmtId="40" fontId="3" fillId="0" borderId="2" xfId="0" applyNumberFormat="1" applyFont="1" applyFill="1" applyBorder="1" applyAlignment="1" applyProtection="1">
      <alignment horizontal="centerContinuous"/>
      <protection locked="0"/>
    </xf>
    <xf numFmtId="40" fontId="3" fillId="4" borderId="2" xfId="0" applyNumberFormat="1" applyFont="1" applyFill="1" applyBorder="1" applyAlignment="1" applyProtection="1">
      <alignment horizontal="center"/>
      <protection locked="0"/>
    </xf>
    <xf numFmtId="0" fontId="9" fillId="4" borderId="3" xfId="0" applyFont="1" applyFill="1" applyBorder="1" applyAlignment="1" applyProtection="1"/>
    <xf numFmtId="0" fontId="9" fillId="4" borderId="1" xfId="0" applyFont="1" applyFill="1" applyBorder="1" applyAlignment="1" applyProtection="1"/>
    <xf numFmtId="0" fontId="8" fillId="0" borderId="6" xfId="0" applyFont="1" applyBorder="1" applyAlignment="1" applyProtection="1">
      <alignment vertical="top" wrapText="1"/>
      <protection locked="0"/>
    </xf>
    <xf numFmtId="0" fontId="1" fillId="0" borderId="7" xfId="0" applyFont="1" applyBorder="1" applyAlignment="1" applyProtection="1">
      <alignment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6" fillId="0" borderId="3" xfId="0" applyFont="1" applyFill="1" applyBorder="1" applyAlignment="1" applyProtection="1">
      <alignment vertical="center"/>
      <protection locked="0"/>
    </xf>
    <xf numFmtId="0" fontId="6" fillId="0" borderId="1" xfId="0" applyFont="1" applyFill="1" applyBorder="1" applyAlignment="1" applyProtection="1">
      <alignment vertical="center"/>
      <protection locked="0"/>
    </xf>
    <xf numFmtId="0" fontId="8" fillId="0" borderId="1" xfId="0" applyFont="1" applyFill="1" applyBorder="1" applyAlignment="1" applyProtection="1">
      <alignment vertical="center"/>
      <protection locked="0"/>
    </xf>
    <xf numFmtId="0" fontId="8" fillId="0" borderId="12" xfId="0" applyFont="1" applyFill="1" applyBorder="1" applyAlignment="1" applyProtection="1">
      <alignment vertical="center"/>
      <protection locked="0"/>
    </xf>
    <xf numFmtId="49" fontId="8" fillId="0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2" xfId="0" applyNumberFormat="1" applyFont="1" applyFill="1" applyBorder="1" applyAlignment="1" applyProtection="1">
      <alignment horizontal="center" vertical="center"/>
      <protection locked="0"/>
    </xf>
    <xf numFmtId="0" fontId="16" fillId="5" borderId="3" xfId="0" applyFont="1" applyFill="1" applyBorder="1" applyAlignment="1" applyProtection="1">
      <alignment vertical="center"/>
      <protection locked="0"/>
    </xf>
    <xf numFmtId="0" fontId="16" fillId="5" borderId="1" xfId="0" applyFont="1" applyFill="1" applyBorder="1" applyAlignment="1" applyProtection="1">
      <alignment vertical="center"/>
      <protection locked="0"/>
    </xf>
    <xf numFmtId="0" fontId="16" fillId="5" borderId="1" xfId="0" applyFont="1" applyFill="1" applyBorder="1" applyAlignment="1" applyProtection="1">
      <alignment horizontal="center" vertical="center"/>
      <protection locked="0"/>
    </xf>
    <xf numFmtId="0" fontId="17" fillId="0" borderId="2" xfId="0" applyFont="1" applyFill="1" applyBorder="1" applyAlignment="1" applyProtection="1">
      <alignment vertical="center"/>
      <protection locked="0"/>
    </xf>
    <xf numFmtId="0" fontId="17" fillId="0" borderId="2" xfId="0" applyFont="1" applyFill="1" applyBorder="1" applyAlignment="1" applyProtection="1">
      <alignment vertical="center" wrapText="1"/>
      <protection locked="0"/>
    </xf>
    <xf numFmtId="0" fontId="17" fillId="0" borderId="2" xfId="0" applyFont="1" applyFill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6" fillId="0" borderId="2" xfId="0" applyFont="1" applyFill="1" applyBorder="1" applyAlignment="1" applyProtection="1">
      <alignment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18" fillId="0" borderId="4" xfId="0" applyFont="1" applyFill="1" applyBorder="1" applyAlignment="1" applyProtection="1">
      <alignment horizontal="left" vertical="top"/>
      <protection locked="0"/>
    </xf>
    <xf numFmtId="0" fontId="18" fillId="0" borderId="0" xfId="0" applyFont="1" applyFill="1" applyBorder="1" applyAlignment="1" applyProtection="1">
      <alignment horizontal="left" vertical="top"/>
      <protection locked="0"/>
    </xf>
    <xf numFmtId="10" fontId="17" fillId="0" borderId="3" xfId="0" applyNumberFormat="1" applyFont="1" applyFill="1" applyBorder="1" applyAlignment="1" applyProtection="1">
      <alignment horizontal="center" vertical="center"/>
      <protection locked="0"/>
    </xf>
    <xf numFmtId="0" fontId="17" fillId="0" borderId="14" xfId="0" applyFont="1" applyFill="1" applyBorder="1" applyAlignment="1" applyProtection="1">
      <alignment horizontal="center" vertical="center"/>
      <protection locked="0"/>
    </xf>
    <xf numFmtId="10" fontId="3" fillId="0" borderId="15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Font="1" applyFill="1" applyBorder="1" applyAlignment="1" applyProtection="1">
      <alignment horizontal="left" vertical="top"/>
      <protection locked="0"/>
    </xf>
    <xf numFmtId="0" fontId="18" fillId="0" borderId="16" xfId="0" applyFont="1" applyFill="1" applyBorder="1" applyAlignment="1" applyProtection="1">
      <alignment horizontal="left" vertical="top"/>
      <protection locked="0"/>
    </xf>
    <xf numFmtId="0" fontId="18" fillId="0" borderId="17" xfId="0" applyFont="1" applyFill="1" applyBorder="1" applyAlignment="1" applyProtection="1">
      <alignment horizontal="left" vertical="top"/>
      <protection locked="0"/>
    </xf>
    <xf numFmtId="0" fontId="18" fillId="0" borderId="18" xfId="0" applyFont="1" applyFill="1" applyBorder="1" applyAlignment="1" applyProtection="1">
      <alignment horizontal="left" vertical="top"/>
      <protection locked="0"/>
    </xf>
    <xf numFmtId="0" fontId="18" fillId="0" borderId="19" xfId="0" applyFont="1" applyFill="1" applyBorder="1" applyAlignment="1" applyProtection="1">
      <alignment horizontal="left" vertical="top"/>
      <protection locked="0"/>
    </xf>
    <xf numFmtId="0" fontId="18" fillId="0" borderId="12" xfId="0" applyFont="1" applyFill="1" applyBorder="1" applyAlignment="1" applyProtection="1">
      <alignment horizontal="left" vertical="top"/>
      <protection locked="0"/>
    </xf>
    <xf numFmtId="0" fontId="18" fillId="0" borderId="20" xfId="0" applyFont="1" applyFill="1" applyBorder="1" applyAlignment="1" applyProtection="1">
      <alignment horizontal="left" vertical="top"/>
      <protection locked="0"/>
    </xf>
    <xf numFmtId="164" fontId="8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5FBFD"/>
      <rgbColor rgb="00CCFFCC"/>
      <rgbColor rgb="00FFFF99"/>
      <rgbColor rgb="00C5E0F3"/>
      <rgbColor rgb="00FF99CC"/>
      <rgbColor rgb="00EAEAEA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</xdr:row>
      <xdr:rowOff>0</xdr:rowOff>
    </xdr:from>
    <xdr:to>
      <xdr:col>2</xdr:col>
      <xdr:colOff>2000250</xdr:colOff>
      <xdr:row>4</xdr:row>
      <xdr:rowOff>133350</xdr:rowOff>
    </xdr:to>
    <xdr:sp macro="[0]!openform1" textlink="">
      <xdr:nvSpPr>
        <xdr:cNvPr id="2" name="Rectangle 1"/>
        <xdr:cNvSpPr/>
      </xdr:nvSpPr>
      <xdr:spPr>
        <a:xfrm>
          <a:off x="304800" y="809625"/>
          <a:ext cx="2886075" cy="314325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Click</a:t>
          </a:r>
          <a:r>
            <a:rPr lang="en-US" sz="1600" b="1" baseline="0">
              <a:solidFill>
                <a:schemeClr val="bg1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 Here to Edit Form</a:t>
          </a:r>
          <a:endParaRPr lang="en-US" sz="1600" b="1">
            <a:solidFill>
              <a:schemeClr val="bg1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75"/>
  <sheetViews>
    <sheetView showGridLines="0" tabSelected="1" zoomScale="80" zoomScaleNormal="80" workbookViewId="0">
      <pane ySplit="6" topLeftCell="A7" activePane="bottomLeft" state="frozen"/>
      <selection pane="bottomLeft" activeCell="A63" sqref="A63:XFD63"/>
    </sheetView>
  </sheetViews>
  <sheetFormatPr defaultRowHeight="18" x14ac:dyDescent="0.25"/>
  <cols>
    <col min="1" max="1" width="4.7109375" style="49" bestFit="1" customWidth="1"/>
    <col min="2" max="2" width="14.42578125" style="8" customWidth="1"/>
    <col min="3" max="3" width="57.7109375" style="8" customWidth="1"/>
    <col min="4" max="4" width="17.7109375" style="8" customWidth="1"/>
    <col min="5" max="5" width="14" style="8" customWidth="1"/>
    <col min="6" max="6" width="12.85546875" style="8" customWidth="1"/>
    <col min="7" max="7" width="16.42578125" style="8" customWidth="1"/>
    <col min="8" max="8" width="18.42578125" style="8" customWidth="1"/>
    <col min="9" max="10" width="19.140625" style="8" customWidth="1"/>
    <col min="11" max="11" width="26" style="8" customWidth="1"/>
    <col min="12" max="16384" width="9.140625" style="8"/>
  </cols>
  <sheetData>
    <row r="1" spans="1:12" ht="19.5" x14ac:dyDescent="0.25">
      <c r="A1" s="48"/>
      <c r="B1" s="2"/>
      <c r="C1" s="28">
        <f ca="1">TODAY()</f>
        <v>42931</v>
      </c>
      <c r="D1" s="3"/>
      <c r="E1" s="1"/>
      <c r="F1" s="1"/>
      <c r="G1" s="1"/>
      <c r="H1" s="1"/>
      <c r="I1" s="1"/>
      <c r="J1" s="1"/>
      <c r="K1" s="1"/>
    </row>
    <row r="2" spans="1:12" ht="31.5" customHeight="1" x14ac:dyDescent="0.35">
      <c r="A2" s="48"/>
      <c r="B2" s="54" t="s">
        <v>4</v>
      </c>
      <c r="C2" s="55"/>
      <c r="D2" s="55"/>
      <c r="E2" s="55"/>
      <c r="F2" s="55"/>
      <c r="G2" s="55"/>
      <c r="H2" s="55"/>
      <c r="I2" s="55"/>
      <c r="J2" s="55"/>
      <c r="K2" s="55"/>
    </row>
    <row r="3" spans="1:12" ht="22.5" x14ac:dyDescent="0.3">
      <c r="A3" s="50"/>
      <c r="B3" s="51" t="s">
        <v>5</v>
      </c>
      <c r="C3" s="4"/>
      <c r="D3" s="16" t="s">
        <v>26</v>
      </c>
      <c r="E3" s="5"/>
      <c r="F3" s="5"/>
      <c r="G3" s="5"/>
      <c r="H3" s="5"/>
      <c r="I3" s="5"/>
      <c r="J3" s="5"/>
      <c r="K3" s="5"/>
    </row>
    <row r="4" spans="1:12" ht="19.5" x14ac:dyDescent="0.25">
      <c r="A4" s="48"/>
      <c r="B4" s="9"/>
      <c r="C4" s="6"/>
      <c r="D4" s="26" t="s">
        <v>6</v>
      </c>
      <c r="E4" s="7"/>
      <c r="F4" s="7"/>
      <c r="G4" s="7"/>
      <c r="H4" s="7"/>
      <c r="I4" s="7"/>
      <c r="J4" s="7"/>
      <c r="K4" s="7"/>
    </row>
    <row r="5" spans="1:12" x14ac:dyDescent="0.25">
      <c r="A5" s="48"/>
      <c r="B5" s="6"/>
      <c r="C5" s="6"/>
      <c r="D5" s="7"/>
      <c r="E5" s="7"/>
      <c r="F5" s="7"/>
      <c r="G5" s="7"/>
      <c r="H5" s="47"/>
      <c r="I5" s="47"/>
      <c r="J5" s="47"/>
      <c r="K5" s="47"/>
    </row>
    <row r="6" spans="1:12" ht="45.75" x14ac:dyDescent="0.25">
      <c r="A6" s="43" t="s">
        <v>22</v>
      </c>
      <c r="B6" s="17" t="s">
        <v>8</v>
      </c>
      <c r="C6" s="17"/>
      <c r="D6" s="43" t="s">
        <v>1</v>
      </c>
      <c r="E6" s="45" t="s">
        <v>0</v>
      </c>
      <c r="F6" s="46" t="s">
        <v>23</v>
      </c>
      <c r="G6" s="44" t="s">
        <v>2</v>
      </c>
      <c r="H6" s="52" t="s">
        <v>25</v>
      </c>
      <c r="I6" s="53" t="s">
        <v>24</v>
      </c>
      <c r="J6" s="52" t="s">
        <v>24</v>
      </c>
      <c r="K6" s="43" t="s">
        <v>3</v>
      </c>
    </row>
    <row r="7" spans="1:12" ht="22.5" x14ac:dyDescent="0.25">
      <c r="B7" s="18" t="s">
        <v>10</v>
      </c>
      <c r="C7" s="14"/>
      <c r="D7" s="15"/>
      <c r="E7" s="15"/>
      <c r="F7" s="15"/>
      <c r="G7" s="15"/>
      <c r="H7" s="15"/>
      <c r="I7" s="15"/>
      <c r="J7" s="15"/>
      <c r="K7" s="15"/>
      <c r="L7" s="10"/>
    </row>
    <row r="8" spans="1:12" ht="19.5" hidden="1" x14ac:dyDescent="0.25">
      <c r="B8" s="11"/>
      <c r="C8" s="12"/>
      <c r="D8" s="13"/>
      <c r="E8" s="13"/>
      <c r="F8" s="13"/>
      <c r="G8" s="13"/>
      <c r="H8" s="13"/>
      <c r="I8" s="13"/>
      <c r="J8" s="13"/>
      <c r="K8" s="13"/>
      <c r="L8" s="10"/>
    </row>
    <row r="9" spans="1:12" ht="19.5" x14ac:dyDescent="0.25">
      <c r="B9" s="59"/>
      <c r="C9" s="60"/>
      <c r="D9" s="61"/>
      <c r="E9" s="61"/>
      <c r="F9" s="61"/>
      <c r="G9" s="63" t="s">
        <v>27</v>
      </c>
      <c r="H9" s="64" t="s">
        <v>28</v>
      </c>
      <c r="I9" s="64" t="s">
        <v>28</v>
      </c>
      <c r="J9" s="64" t="s">
        <v>28</v>
      </c>
      <c r="K9" s="64"/>
      <c r="L9" s="10"/>
    </row>
    <row r="10" spans="1:12" x14ac:dyDescent="0.25">
      <c r="B10" s="65" t="s">
        <v>29</v>
      </c>
      <c r="C10" s="66"/>
      <c r="D10" s="67"/>
      <c r="E10" s="67"/>
      <c r="F10" s="67"/>
      <c r="G10" s="67"/>
      <c r="H10" s="87">
        <v>100</v>
      </c>
      <c r="I10" s="87">
        <v>200</v>
      </c>
      <c r="J10" s="87">
        <v>10</v>
      </c>
      <c r="K10" s="88">
        <f>SUM(I10:J10)/2</f>
        <v>105</v>
      </c>
      <c r="L10" s="10"/>
    </row>
    <row r="11" spans="1:12" x14ac:dyDescent="0.25">
      <c r="B11" s="68" t="s">
        <v>30</v>
      </c>
      <c r="C11" s="69"/>
      <c r="D11" s="70"/>
      <c r="E11" s="70"/>
      <c r="F11" s="70"/>
      <c r="G11" s="77"/>
      <c r="H11" s="80" t="s">
        <v>12</v>
      </c>
      <c r="I11" s="75"/>
      <c r="J11" s="75"/>
      <c r="K11" s="82"/>
      <c r="L11" s="10"/>
    </row>
    <row r="12" spans="1:12" x14ac:dyDescent="0.25">
      <c r="B12" s="68" t="s">
        <v>31</v>
      </c>
      <c r="C12" s="69"/>
      <c r="D12" s="70"/>
      <c r="E12" s="70"/>
      <c r="F12" s="70"/>
      <c r="G12" s="77"/>
      <c r="H12" s="81"/>
      <c r="I12" s="76"/>
      <c r="J12" s="76"/>
      <c r="K12" s="83"/>
      <c r="L12" s="10"/>
    </row>
    <row r="13" spans="1:12" x14ac:dyDescent="0.25">
      <c r="B13" s="68" t="s">
        <v>32</v>
      </c>
      <c r="C13" s="69"/>
      <c r="D13" s="70"/>
      <c r="E13" s="70"/>
      <c r="F13" s="70"/>
      <c r="G13" s="77"/>
      <c r="H13" s="81"/>
      <c r="I13" s="76"/>
      <c r="J13" s="76"/>
      <c r="K13" s="83"/>
      <c r="L13" s="10"/>
    </row>
    <row r="14" spans="1:12" ht="18.75" thickBot="1" x14ac:dyDescent="0.3">
      <c r="B14" s="68"/>
      <c r="C14" s="68"/>
      <c r="D14" s="70"/>
      <c r="E14" s="70"/>
      <c r="F14" s="70"/>
      <c r="G14" s="78"/>
      <c r="H14" s="81"/>
      <c r="I14" s="76"/>
      <c r="J14" s="76"/>
      <c r="K14" s="83"/>
      <c r="L14" s="10"/>
    </row>
    <row r="15" spans="1:12" ht="19.5" x14ac:dyDescent="0.25">
      <c r="B15" s="71" t="s">
        <v>33</v>
      </c>
      <c r="C15" s="72"/>
      <c r="D15" s="73"/>
      <c r="E15" s="73"/>
      <c r="F15" s="74"/>
      <c r="G15" s="79">
        <f>SUM(G11:G13)</f>
        <v>0</v>
      </c>
      <c r="H15" s="81"/>
      <c r="I15" s="76"/>
      <c r="J15" s="76"/>
      <c r="K15" s="83"/>
      <c r="L15" s="10"/>
    </row>
    <row r="16" spans="1:12" ht="19.5" x14ac:dyDescent="0.25">
      <c r="B16" s="59"/>
      <c r="C16" s="60"/>
      <c r="D16" s="61"/>
      <c r="E16" s="61"/>
      <c r="F16" s="61"/>
      <c r="G16" s="62"/>
      <c r="H16" s="84"/>
      <c r="I16" s="85"/>
      <c r="J16" s="85"/>
      <c r="K16" s="86"/>
      <c r="L16" s="10"/>
    </row>
    <row r="17" spans="2:12" ht="19.5" x14ac:dyDescent="0.25">
      <c r="B17" s="59"/>
      <c r="C17" s="60"/>
      <c r="D17" s="61"/>
      <c r="E17" s="61"/>
      <c r="F17" s="61"/>
      <c r="G17" s="63" t="s">
        <v>27</v>
      </c>
      <c r="H17" s="64" t="s">
        <v>28</v>
      </c>
      <c r="I17" s="64" t="s">
        <v>28</v>
      </c>
      <c r="J17" s="64" t="s">
        <v>28</v>
      </c>
      <c r="K17" s="64"/>
      <c r="L17" s="10"/>
    </row>
    <row r="18" spans="2:12" x14ac:dyDescent="0.25">
      <c r="B18" s="65" t="s">
        <v>29</v>
      </c>
      <c r="C18" s="66"/>
      <c r="D18" s="67"/>
      <c r="E18" s="67"/>
      <c r="F18" s="67"/>
      <c r="G18" s="67"/>
      <c r="H18" s="87">
        <v>90</v>
      </c>
      <c r="I18" s="87">
        <v>20</v>
      </c>
      <c r="J18" s="87">
        <v>10</v>
      </c>
      <c r="K18" s="88">
        <f>SUM(I18:J18)/2</f>
        <v>15</v>
      </c>
      <c r="L18" s="10"/>
    </row>
    <row r="19" spans="2:12" x14ac:dyDescent="0.25">
      <c r="B19" s="68" t="s">
        <v>30</v>
      </c>
      <c r="C19" s="69"/>
      <c r="D19" s="70"/>
      <c r="E19" s="70"/>
      <c r="F19" s="70"/>
      <c r="G19" s="77"/>
      <c r="H19" s="80" t="s">
        <v>12</v>
      </c>
      <c r="I19" s="75"/>
      <c r="J19" s="75"/>
      <c r="K19" s="82"/>
      <c r="L19" s="10"/>
    </row>
    <row r="20" spans="2:12" x14ac:dyDescent="0.25">
      <c r="B20" s="68" t="s">
        <v>31</v>
      </c>
      <c r="C20" s="69"/>
      <c r="D20" s="70"/>
      <c r="E20" s="70"/>
      <c r="F20" s="70"/>
      <c r="G20" s="77"/>
      <c r="H20" s="81"/>
      <c r="I20" s="76"/>
      <c r="J20" s="76"/>
      <c r="K20" s="83"/>
      <c r="L20" s="10"/>
    </row>
    <row r="21" spans="2:12" x14ac:dyDescent="0.25">
      <c r="B21" s="68" t="s">
        <v>32</v>
      </c>
      <c r="C21" s="69"/>
      <c r="D21" s="70"/>
      <c r="E21" s="70"/>
      <c r="F21" s="70"/>
      <c r="G21" s="77"/>
      <c r="H21" s="81"/>
      <c r="I21" s="76"/>
      <c r="J21" s="76"/>
      <c r="K21" s="83"/>
      <c r="L21" s="10"/>
    </row>
    <row r="22" spans="2:12" ht="18.75" thickBot="1" x14ac:dyDescent="0.3">
      <c r="B22" s="68"/>
      <c r="C22" s="68"/>
      <c r="D22" s="70"/>
      <c r="E22" s="70"/>
      <c r="F22" s="70"/>
      <c r="G22" s="78"/>
      <c r="H22" s="81"/>
      <c r="I22" s="76"/>
      <c r="J22" s="76"/>
      <c r="K22" s="83"/>
      <c r="L22" s="10"/>
    </row>
    <row r="23" spans="2:12" ht="19.5" x14ac:dyDescent="0.25">
      <c r="B23" s="71" t="s">
        <v>33</v>
      </c>
      <c r="C23" s="72"/>
      <c r="D23" s="73"/>
      <c r="E23" s="73"/>
      <c r="F23" s="74"/>
      <c r="G23" s="79">
        <f>SUM(G19:G21)</f>
        <v>0</v>
      </c>
      <c r="H23" s="81"/>
      <c r="I23" s="76"/>
      <c r="J23" s="76"/>
      <c r="K23" s="83"/>
      <c r="L23" s="10"/>
    </row>
    <row r="24" spans="2:12" ht="19.5" x14ac:dyDescent="0.25">
      <c r="B24" s="59"/>
      <c r="C24" s="60"/>
      <c r="D24" s="61"/>
      <c r="E24" s="61"/>
      <c r="F24" s="61"/>
      <c r="G24" s="62"/>
      <c r="H24" s="84"/>
      <c r="I24" s="85"/>
      <c r="J24" s="85"/>
      <c r="K24" s="86"/>
      <c r="L24" s="10"/>
    </row>
    <row r="25" spans="2:12" ht="19.5" x14ac:dyDescent="0.25">
      <c r="B25" s="59"/>
      <c r="C25" s="60"/>
      <c r="D25" s="61"/>
      <c r="E25" s="61"/>
      <c r="F25" s="61"/>
      <c r="G25" s="63" t="s">
        <v>27</v>
      </c>
      <c r="H25" s="64" t="s">
        <v>28</v>
      </c>
      <c r="I25" s="64" t="s">
        <v>28</v>
      </c>
      <c r="J25" s="64" t="s">
        <v>28</v>
      </c>
      <c r="K25" s="64"/>
      <c r="L25" s="10"/>
    </row>
    <row r="26" spans="2:12" x14ac:dyDescent="0.25">
      <c r="B26" s="65" t="s">
        <v>29</v>
      </c>
      <c r="C26" s="66"/>
      <c r="D26" s="67"/>
      <c r="E26" s="67"/>
      <c r="F26" s="67"/>
      <c r="G26" s="67"/>
      <c r="H26" s="87">
        <v>34</v>
      </c>
      <c r="I26" s="87">
        <v>40</v>
      </c>
      <c r="J26" s="87">
        <v>30</v>
      </c>
      <c r="K26" s="88">
        <f>SUM(I26:J26)/2</f>
        <v>35</v>
      </c>
      <c r="L26" s="10"/>
    </row>
    <row r="27" spans="2:12" x14ac:dyDescent="0.25">
      <c r="B27" s="68" t="s">
        <v>30</v>
      </c>
      <c r="C27" s="69"/>
      <c r="D27" s="70"/>
      <c r="E27" s="70"/>
      <c r="F27" s="70"/>
      <c r="G27" s="77"/>
      <c r="H27" s="80" t="s">
        <v>12</v>
      </c>
      <c r="I27" s="75"/>
      <c r="J27" s="75"/>
      <c r="K27" s="82"/>
      <c r="L27" s="10"/>
    </row>
    <row r="28" spans="2:12" x14ac:dyDescent="0.25">
      <c r="B28" s="68" t="s">
        <v>31</v>
      </c>
      <c r="C28" s="69"/>
      <c r="D28" s="70"/>
      <c r="E28" s="70"/>
      <c r="F28" s="70"/>
      <c r="G28" s="77"/>
      <c r="H28" s="81"/>
      <c r="I28" s="76"/>
      <c r="J28" s="76"/>
      <c r="K28" s="83"/>
      <c r="L28" s="10"/>
    </row>
    <row r="29" spans="2:12" x14ac:dyDescent="0.25">
      <c r="B29" s="68" t="s">
        <v>32</v>
      </c>
      <c r="C29" s="69"/>
      <c r="D29" s="70"/>
      <c r="E29" s="70"/>
      <c r="F29" s="70"/>
      <c r="G29" s="77"/>
      <c r="H29" s="81"/>
      <c r="I29" s="76"/>
      <c r="J29" s="76"/>
      <c r="K29" s="83"/>
      <c r="L29" s="10"/>
    </row>
    <row r="30" spans="2:12" ht="18.75" thickBot="1" x14ac:dyDescent="0.3">
      <c r="B30" s="68"/>
      <c r="C30" s="68"/>
      <c r="D30" s="70"/>
      <c r="E30" s="70"/>
      <c r="F30" s="70"/>
      <c r="G30" s="78"/>
      <c r="H30" s="81"/>
      <c r="I30" s="76"/>
      <c r="J30" s="76"/>
      <c r="K30" s="83"/>
      <c r="L30" s="10"/>
    </row>
    <row r="31" spans="2:12" ht="19.5" x14ac:dyDescent="0.25">
      <c r="B31" s="71" t="s">
        <v>33</v>
      </c>
      <c r="C31" s="72"/>
      <c r="D31" s="73"/>
      <c r="E31" s="73"/>
      <c r="F31" s="74"/>
      <c r="G31" s="79">
        <f>SUM(G27:G29)</f>
        <v>0</v>
      </c>
      <c r="H31" s="81"/>
      <c r="I31" s="76"/>
      <c r="J31" s="76"/>
      <c r="K31" s="83"/>
      <c r="L31" s="10"/>
    </row>
    <row r="32" spans="2:12" ht="19.5" x14ac:dyDescent="0.25">
      <c r="B32" s="59"/>
      <c r="C32" s="60"/>
      <c r="D32" s="61"/>
      <c r="E32" s="61"/>
      <c r="F32" s="61"/>
      <c r="G32" s="62"/>
      <c r="H32" s="84"/>
      <c r="I32" s="85"/>
      <c r="J32" s="85"/>
      <c r="K32" s="86"/>
      <c r="L32" s="10"/>
    </row>
    <row r="33" spans="1:11" ht="22.5" x14ac:dyDescent="0.25">
      <c r="B33" s="18" t="s">
        <v>7</v>
      </c>
      <c r="C33" s="14"/>
      <c r="D33" s="25"/>
      <c r="E33" s="25"/>
      <c r="F33" s="25"/>
      <c r="G33" s="25"/>
      <c r="H33" s="40"/>
      <c r="I33" s="40"/>
      <c r="J33" s="40"/>
      <c r="K33" s="40"/>
    </row>
    <row r="34" spans="1:11" ht="19.5" hidden="1" x14ac:dyDescent="0.25">
      <c r="B34" s="11"/>
      <c r="C34" s="12"/>
      <c r="D34" s="13"/>
      <c r="E34" s="13"/>
      <c r="F34" s="13"/>
      <c r="G34" s="13"/>
      <c r="H34" s="13"/>
      <c r="I34" s="13"/>
      <c r="J34" s="13"/>
      <c r="K34" s="13"/>
    </row>
    <row r="35" spans="1:11" ht="19.5" x14ac:dyDescent="0.25">
      <c r="B35" s="59"/>
      <c r="C35" s="60"/>
      <c r="D35" s="61"/>
      <c r="E35" s="61"/>
      <c r="F35" s="61"/>
      <c r="G35" s="63" t="s">
        <v>27</v>
      </c>
      <c r="H35" s="64" t="s">
        <v>28</v>
      </c>
      <c r="I35" s="64" t="s">
        <v>28</v>
      </c>
      <c r="J35" s="64" t="s">
        <v>28</v>
      </c>
      <c r="K35" s="64"/>
    </row>
    <row r="36" spans="1:11" x14ac:dyDescent="0.25">
      <c r="A36" s="22">
        <v>1</v>
      </c>
      <c r="B36" s="65" t="s">
        <v>29</v>
      </c>
      <c r="C36" s="66"/>
      <c r="D36" s="67"/>
      <c r="E36" s="67"/>
      <c r="F36" s="67"/>
      <c r="G36" s="67"/>
      <c r="H36" s="87">
        <v>100</v>
      </c>
      <c r="I36" s="87">
        <v>90</v>
      </c>
      <c r="J36" s="87">
        <v>39</v>
      </c>
      <c r="K36" s="88">
        <f>SUM(I36:J36)/2</f>
        <v>64.5</v>
      </c>
    </row>
    <row r="37" spans="1:11" x14ac:dyDescent="0.25">
      <c r="B37" s="68" t="s">
        <v>30</v>
      </c>
      <c r="C37" s="69"/>
      <c r="D37" s="70"/>
      <c r="E37" s="70"/>
      <c r="F37" s="70"/>
      <c r="G37" s="77"/>
      <c r="H37" s="80" t="s">
        <v>12</v>
      </c>
      <c r="I37" s="75"/>
      <c r="J37" s="75"/>
      <c r="K37" s="82"/>
    </row>
    <row r="38" spans="1:11" x14ac:dyDescent="0.25">
      <c r="B38" s="68" t="s">
        <v>31</v>
      </c>
      <c r="C38" s="69"/>
      <c r="D38" s="70"/>
      <c r="E38" s="70"/>
      <c r="F38" s="70"/>
      <c r="G38" s="77"/>
      <c r="H38" s="81"/>
      <c r="I38" s="76"/>
      <c r="J38" s="76"/>
      <c r="K38" s="83"/>
    </row>
    <row r="39" spans="1:11" x14ac:dyDescent="0.25">
      <c r="B39" s="68" t="s">
        <v>32</v>
      </c>
      <c r="C39" s="69"/>
      <c r="D39" s="70"/>
      <c r="E39" s="70"/>
      <c r="F39" s="70"/>
      <c r="G39" s="77"/>
      <c r="H39" s="81"/>
      <c r="I39" s="76"/>
      <c r="J39" s="76"/>
      <c r="K39" s="83"/>
    </row>
    <row r="40" spans="1:11" ht="18.75" thickBot="1" x14ac:dyDescent="0.3">
      <c r="B40" s="68"/>
      <c r="C40" s="68"/>
      <c r="D40" s="70"/>
      <c r="E40" s="70"/>
      <c r="F40" s="70"/>
      <c r="G40" s="78"/>
      <c r="H40" s="81"/>
      <c r="I40" s="76"/>
      <c r="J40" s="76"/>
      <c r="K40" s="83"/>
    </row>
    <row r="41" spans="1:11" ht="19.5" x14ac:dyDescent="0.25">
      <c r="B41" s="71" t="s">
        <v>33</v>
      </c>
      <c r="C41" s="72"/>
      <c r="D41" s="73"/>
      <c r="E41" s="73"/>
      <c r="F41" s="74"/>
      <c r="G41" s="79">
        <f>SUM(G37:G39)</f>
        <v>0</v>
      </c>
      <c r="H41" s="81"/>
      <c r="I41" s="76"/>
      <c r="J41" s="76"/>
      <c r="K41" s="83"/>
    </row>
    <row r="42" spans="1:11" ht="19.5" x14ac:dyDescent="0.25">
      <c r="B42" s="59"/>
      <c r="C42" s="60"/>
      <c r="D42" s="61"/>
      <c r="E42" s="61"/>
      <c r="F42" s="61"/>
      <c r="G42" s="62"/>
      <c r="H42" s="84"/>
      <c r="I42" s="85"/>
      <c r="J42" s="85"/>
      <c r="K42" s="86"/>
    </row>
    <row r="43" spans="1:11" ht="19.5" x14ac:dyDescent="0.25">
      <c r="B43" s="59"/>
      <c r="C43" s="60"/>
      <c r="D43" s="61"/>
      <c r="E43" s="61"/>
      <c r="F43" s="61"/>
      <c r="G43" s="63" t="s">
        <v>27</v>
      </c>
      <c r="H43" s="64" t="s">
        <v>28</v>
      </c>
      <c r="I43" s="64" t="s">
        <v>28</v>
      </c>
      <c r="J43" s="64" t="s">
        <v>28</v>
      </c>
      <c r="K43" s="64"/>
    </row>
    <row r="44" spans="1:11" x14ac:dyDescent="0.25">
      <c r="A44" s="22">
        <v>2</v>
      </c>
      <c r="B44" s="65" t="s">
        <v>29</v>
      </c>
      <c r="C44" s="66"/>
      <c r="D44" s="67"/>
      <c r="E44" s="67"/>
      <c r="F44" s="67"/>
      <c r="G44" s="67"/>
      <c r="H44" s="87">
        <v>36</v>
      </c>
      <c r="I44" s="87">
        <v>93</v>
      </c>
      <c r="J44" s="87">
        <v>11</v>
      </c>
      <c r="K44" s="88">
        <f>SUM(I44:J44)/2</f>
        <v>52</v>
      </c>
    </row>
    <row r="45" spans="1:11" x14ac:dyDescent="0.25">
      <c r="B45" s="68" t="s">
        <v>30</v>
      </c>
      <c r="C45" s="69"/>
      <c r="D45" s="70"/>
      <c r="E45" s="70"/>
      <c r="F45" s="70"/>
      <c r="G45" s="77"/>
      <c r="H45" s="80" t="s">
        <v>12</v>
      </c>
      <c r="I45" s="75"/>
      <c r="J45" s="75"/>
      <c r="K45" s="82"/>
    </row>
    <row r="46" spans="1:11" x14ac:dyDescent="0.25">
      <c r="B46" s="68" t="s">
        <v>31</v>
      </c>
      <c r="C46" s="69"/>
      <c r="D46" s="70"/>
      <c r="E46" s="70"/>
      <c r="F46" s="70"/>
      <c r="G46" s="77"/>
      <c r="H46" s="81"/>
      <c r="I46" s="76"/>
      <c r="J46" s="76"/>
      <c r="K46" s="83"/>
    </row>
    <row r="47" spans="1:11" x14ac:dyDescent="0.25">
      <c r="B47" s="68" t="s">
        <v>32</v>
      </c>
      <c r="C47" s="69"/>
      <c r="D47" s="70"/>
      <c r="E47" s="70"/>
      <c r="F47" s="70"/>
      <c r="G47" s="77"/>
      <c r="H47" s="81"/>
      <c r="I47" s="76"/>
      <c r="J47" s="76"/>
      <c r="K47" s="83"/>
    </row>
    <row r="48" spans="1:11" ht="18.75" thickBot="1" x14ac:dyDescent="0.3">
      <c r="B48" s="68"/>
      <c r="C48" s="68"/>
      <c r="D48" s="70"/>
      <c r="E48" s="70"/>
      <c r="F48" s="70"/>
      <c r="G48" s="78"/>
      <c r="H48" s="81"/>
      <c r="I48" s="76"/>
      <c r="J48" s="76"/>
      <c r="K48" s="83"/>
    </row>
    <row r="49" spans="1:11" ht="19.5" x14ac:dyDescent="0.25">
      <c r="B49" s="71" t="s">
        <v>33</v>
      </c>
      <c r="C49" s="72"/>
      <c r="D49" s="73"/>
      <c r="E49" s="73"/>
      <c r="F49" s="74"/>
      <c r="G49" s="79">
        <f>SUM(G45:G47)</f>
        <v>0</v>
      </c>
      <c r="H49" s="81"/>
      <c r="I49" s="76"/>
      <c r="J49" s="76"/>
      <c r="K49" s="83"/>
    </row>
    <row r="50" spans="1:11" ht="19.5" x14ac:dyDescent="0.25">
      <c r="B50" s="59"/>
      <c r="C50" s="60"/>
      <c r="D50" s="61"/>
      <c r="E50" s="61"/>
      <c r="F50" s="61"/>
      <c r="G50" s="62"/>
      <c r="H50" s="84"/>
      <c r="I50" s="85"/>
      <c r="J50" s="85"/>
      <c r="K50" s="86"/>
    </row>
    <row r="51" spans="1:11" ht="22.5" x14ac:dyDescent="0.25">
      <c r="B51" s="18" t="s">
        <v>9</v>
      </c>
      <c r="C51" s="14"/>
      <c r="D51" s="25"/>
      <c r="E51" s="25"/>
      <c r="F51" s="25"/>
      <c r="G51" s="25"/>
      <c r="H51" s="40"/>
      <c r="I51" s="40"/>
      <c r="J51" s="40"/>
      <c r="K51" s="40"/>
    </row>
    <row r="52" spans="1:11" ht="19.5" hidden="1" x14ac:dyDescent="0.25">
      <c r="B52" s="11"/>
      <c r="C52" s="12"/>
      <c r="D52" s="13"/>
      <c r="E52" s="13"/>
      <c r="F52" s="13"/>
      <c r="G52" s="13"/>
      <c r="H52" s="13"/>
      <c r="I52" s="13"/>
      <c r="J52" s="13"/>
      <c r="K52" s="13"/>
    </row>
    <row r="53" spans="1:11" ht="19.5" x14ac:dyDescent="0.25">
      <c r="B53" s="59"/>
      <c r="C53" s="60"/>
      <c r="D53" s="61"/>
      <c r="E53" s="61"/>
      <c r="F53" s="61"/>
      <c r="G53" s="63" t="s">
        <v>27</v>
      </c>
      <c r="H53" s="63" t="s">
        <v>28</v>
      </c>
      <c r="I53" s="63" t="s">
        <v>28</v>
      </c>
      <c r="J53" s="63" t="s">
        <v>28</v>
      </c>
      <c r="K53" s="63"/>
    </row>
    <row r="54" spans="1:11" x14ac:dyDescent="0.25">
      <c r="A54" s="22">
        <v>3</v>
      </c>
      <c r="B54" s="65" t="s">
        <v>29</v>
      </c>
      <c r="C54" s="66"/>
      <c r="D54" s="67"/>
      <c r="E54" s="67"/>
      <c r="F54" s="67"/>
      <c r="G54" s="67"/>
      <c r="H54" s="87">
        <v>4</v>
      </c>
      <c r="I54" s="87">
        <v>22</v>
      </c>
      <c r="J54" s="87">
        <v>100</v>
      </c>
      <c r="K54" s="88">
        <f>SUM(I54:J54)/2</f>
        <v>61</v>
      </c>
    </row>
    <row r="55" spans="1:11" x14ac:dyDescent="0.25">
      <c r="B55" s="68" t="s">
        <v>30</v>
      </c>
      <c r="C55" s="69"/>
      <c r="D55" s="70"/>
      <c r="E55" s="70"/>
      <c r="F55" s="70"/>
      <c r="G55" s="77"/>
      <c r="H55" s="80" t="s">
        <v>12</v>
      </c>
      <c r="I55" s="75"/>
      <c r="J55" s="75"/>
      <c r="K55" s="82"/>
    </row>
    <row r="56" spans="1:11" x14ac:dyDescent="0.25">
      <c r="B56" s="68" t="s">
        <v>31</v>
      </c>
      <c r="C56" s="69"/>
      <c r="D56" s="70"/>
      <c r="E56" s="70"/>
      <c r="F56" s="70"/>
      <c r="G56" s="77"/>
      <c r="H56" s="81"/>
      <c r="I56" s="76"/>
      <c r="J56" s="76"/>
      <c r="K56" s="83"/>
    </row>
    <row r="57" spans="1:11" x14ac:dyDescent="0.25">
      <c r="B57" s="68" t="s">
        <v>32</v>
      </c>
      <c r="C57" s="69"/>
      <c r="D57" s="70"/>
      <c r="E57" s="70"/>
      <c r="F57" s="70"/>
      <c r="G57" s="77"/>
      <c r="H57" s="81"/>
      <c r="I57" s="76"/>
      <c r="J57" s="76"/>
      <c r="K57" s="83"/>
    </row>
    <row r="58" spans="1:11" ht="18.75" thickBot="1" x14ac:dyDescent="0.3">
      <c r="B58" s="68"/>
      <c r="C58" s="68"/>
      <c r="D58" s="70"/>
      <c r="E58" s="70"/>
      <c r="F58" s="70"/>
      <c r="G58" s="78"/>
      <c r="H58" s="81"/>
      <c r="I58" s="76"/>
      <c r="J58" s="76"/>
      <c r="K58" s="83"/>
    </row>
    <row r="59" spans="1:11" ht="19.5" x14ac:dyDescent="0.25">
      <c r="B59" s="71" t="s">
        <v>33</v>
      </c>
      <c r="C59" s="72"/>
      <c r="D59" s="73"/>
      <c r="E59" s="73"/>
      <c r="F59" s="74"/>
      <c r="G59" s="79">
        <f>SUM(G55:G57)</f>
        <v>0</v>
      </c>
      <c r="H59" s="81"/>
      <c r="I59" s="76"/>
      <c r="J59" s="76"/>
      <c r="K59" s="83"/>
    </row>
    <row r="60" spans="1:11" ht="19.5" x14ac:dyDescent="0.25">
      <c r="B60" s="59"/>
      <c r="C60" s="60"/>
      <c r="D60" s="61"/>
      <c r="E60" s="61"/>
      <c r="F60" s="61"/>
      <c r="G60" s="62"/>
      <c r="H60" s="84"/>
      <c r="I60" s="85"/>
      <c r="J60" s="85"/>
      <c r="K60" s="86"/>
    </row>
    <row r="61" spans="1:11" x14ac:dyDescent="0.25">
      <c r="B61" s="29" t="s">
        <v>18</v>
      </c>
      <c r="C61" s="30"/>
      <c r="D61" s="31"/>
      <c r="E61" s="31"/>
      <c r="F61" s="31"/>
      <c r="G61" s="31"/>
      <c r="H61" s="32">
        <v>224</v>
      </c>
      <c r="I61" s="32">
        <v>260</v>
      </c>
      <c r="J61" s="32">
        <v>50</v>
      </c>
      <c r="K61" s="32">
        <v>155</v>
      </c>
    </row>
    <row r="62" spans="1:11" ht="18.75" thickBot="1" x14ac:dyDescent="0.3">
      <c r="B62" s="29" t="s">
        <v>19</v>
      </c>
      <c r="C62" s="30"/>
      <c r="D62" s="31"/>
      <c r="E62" s="31"/>
      <c r="F62" s="31"/>
      <c r="G62" s="31"/>
      <c r="H62" s="36">
        <v>140</v>
      </c>
      <c r="I62" s="36">
        <v>205</v>
      </c>
      <c r="J62" s="36">
        <v>150</v>
      </c>
      <c r="K62" s="36">
        <v>177.5</v>
      </c>
    </row>
    <row r="63" spans="1:11" ht="18.75" thickBot="1" x14ac:dyDescent="0.3">
      <c r="B63" s="19" t="s">
        <v>11</v>
      </c>
      <c r="C63" s="33"/>
      <c r="D63" s="34"/>
      <c r="E63" s="34"/>
      <c r="F63" s="35"/>
      <c r="G63" s="35"/>
      <c r="H63" s="37">
        <f>SUM(H61:H62)</f>
        <v>364</v>
      </c>
      <c r="I63" s="38">
        <f>SUM(I61:I62)</f>
        <v>465</v>
      </c>
      <c r="J63" s="38">
        <f>SUM(J61:J62)</f>
        <v>200</v>
      </c>
      <c r="K63" s="39">
        <f>SUM(K61:K62)</f>
        <v>332.5</v>
      </c>
    </row>
    <row r="66" spans="2:10" ht="18.75" thickBot="1" x14ac:dyDescent="0.3">
      <c r="C66" s="10" t="s">
        <v>21</v>
      </c>
    </row>
    <row r="67" spans="2:10" ht="102.75" customHeight="1" thickBot="1" x14ac:dyDescent="0.3">
      <c r="B67" s="24" t="s">
        <v>12</v>
      </c>
      <c r="C67" s="56" t="s">
        <v>20</v>
      </c>
      <c r="D67" s="57"/>
      <c r="E67" s="57"/>
      <c r="F67" s="57"/>
      <c r="G67" s="57"/>
      <c r="H67" s="57"/>
      <c r="I67" s="57"/>
      <c r="J67" s="58"/>
    </row>
    <row r="68" spans="2:10" x14ac:dyDescent="0.25">
      <c r="B68" s="24"/>
      <c r="C68" s="41"/>
      <c r="D68" s="42"/>
      <c r="E68" s="42"/>
      <c r="F68" s="42"/>
      <c r="G68" s="42"/>
      <c r="H68" s="42"/>
      <c r="I68" s="42"/>
      <c r="J68" s="42"/>
    </row>
    <row r="70" spans="2:10" x14ac:dyDescent="0.25">
      <c r="C70" s="20" t="s">
        <v>13</v>
      </c>
    </row>
    <row r="71" spans="2:10" x14ac:dyDescent="0.25">
      <c r="C71" s="21" t="s">
        <v>14</v>
      </c>
    </row>
    <row r="72" spans="2:10" x14ac:dyDescent="0.25">
      <c r="C72" s="22" t="s">
        <v>15</v>
      </c>
    </row>
    <row r="74" spans="2:10" x14ac:dyDescent="0.25">
      <c r="B74" s="27" t="s">
        <v>17</v>
      </c>
    </row>
    <row r="75" spans="2:10" x14ac:dyDescent="0.25">
      <c r="B75" s="23" t="s">
        <v>16</v>
      </c>
    </row>
  </sheetData>
  <sheetProtection algorithmName="SHA-512" hashValue="5gOI0Jib/wti1ENKSkh00nrVL6PwMWjwucwL4CMpnzDVN9MSthAXjLaDVKKJd5XFM8nbdkvRz0H26DuoYA5OLA==" saltValue="CFR8wYLVD/FxbxR9JAqOfw==" spinCount="100000" sheet="1" objects="1" scenarios="1" formatRows="0" insertRows="0" deleteRows="0"/>
  <mergeCells count="14">
    <mergeCell ref="B26:C26"/>
    <mergeCell ref="H27:K32"/>
    <mergeCell ref="B18:C18"/>
    <mergeCell ref="H19:K24"/>
    <mergeCell ref="B10:C10"/>
    <mergeCell ref="H11:K16"/>
    <mergeCell ref="B36:C36"/>
    <mergeCell ref="B54:C54"/>
    <mergeCell ref="H55:K60"/>
    <mergeCell ref="H37:K42"/>
    <mergeCell ref="B2:K2"/>
    <mergeCell ref="C67:J67"/>
    <mergeCell ref="B44:C44"/>
    <mergeCell ref="H45:K50"/>
  </mergeCells>
  <phoneticPr fontId="0" type="noConversion"/>
  <printOptions horizontalCentered="1"/>
  <pageMargins left="0.25" right="0.25" top="0.75" bottom="0.75" header="0.3" footer="0.3"/>
  <pageSetup scale="62" fitToHeight="2" orientation="landscape" horizontalDpi="200" verticalDpi="200" r:id="rId1"/>
  <headerFooter alignWithMargins="0">
    <oddFooter>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Intern2</dc:creator>
  <cp:lastModifiedBy>Jack</cp:lastModifiedBy>
  <cp:lastPrinted>2016-09-09T13:14:23Z</cp:lastPrinted>
  <dcterms:created xsi:type="dcterms:W3CDTF">2001-05-18T00:29:33Z</dcterms:created>
  <dcterms:modified xsi:type="dcterms:W3CDTF">2017-07-16T02:32:07Z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TC062062791033</vt:lpwstr>
  </property>
</Properties>
</file>